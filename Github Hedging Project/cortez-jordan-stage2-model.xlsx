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Notes &amp; Assumptions" sheetId="2" state="visible" r:id="rId4"/>
  </sheets>
  <definedNames>
    <definedName function="false" hidden="false" name="F0_in" vbProcedure="false">Model!$B$4</definedName>
    <definedName function="false" hidden="false" name="FC_AMT" vbProcedure="false">Model!$B$2</definedName>
    <definedName function="false" hidden="false" name="K_CALL" vbProcedure="false">Model!$B$10</definedName>
    <definedName function="false" hidden="false" name="K_PUT" vbProcedure="false">Model!$B$8</definedName>
    <definedName function="false" hidden="false" name="PREM_CALL" vbProcedure="false">Model!$B$11</definedName>
    <definedName function="false" hidden="false" name="PREM_PUT" vbProcedure="false">Model!$B$9</definedName>
    <definedName function="false" hidden="false" name="R_FC" vbProcedure="false">Model!$B$6</definedName>
    <definedName function="false" hidden="false" name="R_USD" vbProcedure="false">Model!$B$5</definedName>
    <definedName function="false" hidden="false" name="S0_in" vbProcedure="false">Model!$B$3</definedName>
    <definedName function="false" hidden="false" name="T_DAYS" vbProcedure="false">Model!$B$7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<sst xmlns="http://schemas.openxmlformats.org/spreadsheetml/2006/main" count="102" uniqueCount="100">
  <si>
    <t xml:space="preserve">SECTION 1 – INPUTS</t>
  </si>
  <si>
    <t xml:space="preserve">EUR Receivable (FC_AMT)</t>
  </si>
  <si>
    <t xml:space="preserve">FC_AMT</t>
  </si>
  <si>
    <t xml:space="preserve">Spot Rate  (EUR/USD)</t>
  </si>
  <si>
    <t xml:space="preserve">S0_in</t>
  </si>
  <si>
    <t xml:space="preserve">1-Yr Forward Rate  (EUR/USD)</t>
  </si>
  <si>
    <t xml:space="preserve">F0_in</t>
  </si>
  <si>
    <t xml:space="preserve">USD Interest Rate  (p.a.)</t>
  </si>
  <si>
    <t xml:space="preserve">R_USD</t>
  </si>
  <si>
    <t xml:space="preserve">EUR Interest Rate  (p.a.)</t>
  </si>
  <si>
    <t xml:space="preserve">R_FC</t>
  </si>
  <si>
    <t xml:space="preserve">Time Horizon (days)</t>
  </si>
  <si>
    <t xml:space="preserve">T_DAYS</t>
  </si>
  <si>
    <t xml:space="preserve">Put Strike  (EUR/USD)</t>
  </si>
  <si>
    <t xml:space="preserve">K_PUT</t>
  </si>
  <si>
    <t xml:space="preserve">Put Premium  (USD per EUR)</t>
  </si>
  <si>
    <t xml:space="preserve">PREM_PUT</t>
  </si>
  <si>
    <t xml:space="preserve">Call Strike  (EUR/USD)</t>
  </si>
  <si>
    <t xml:space="preserve">K_CALL</t>
  </si>
  <si>
    <t xml:space="preserve">Call Premium received (USD/EUR)</t>
  </si>
  <si>
    <t xml:space="preserve">PREM_CALL</t>
  </si>
  <si>
    <t xml:space="preserve">SECTION 2 – FORWARD HEDGE</t>
  </si>
  <si>
    <t xml:space="preserve">[a] Sell EUR forward; locked-in USD proceeds  =  FC_AMT × F0</t>
  </si>
  <si>
    <t xml:space="preserve">← LOCKED IN</t>
  </si>
  <si>
    <t xml:space="preserve">SECTION 3 – MONEY MARKET HEDGE</t>
  </si>
  <si>
    <t xml:space="preserve">[a] Borrow PV of EUR receivable  =  FC_AMT / (1 + R_FC)</t>
  </si>
  <si>
    <t xml:space="preserve">[b] Convert to USD at spot  =  [a] × S0</t>
  </si>
  <si>
    <t xml:space="preserve">[c] Invest USD at R_USD  =  [b] × (1 + R_USD)  → locked-in result</t>
  </si>
  <si>
    <t xml:space="preserve">Parity check  (Forward − MM)  should be ≈ $0</t>
  </si>
  <si>
    <t xml:space="preserve">Covered-interest parity confirmation</t>
  </si>
  <si>
    <t xml:space="preserve">SECTION 4 – OPTION HEDGES</t>
  </si>
  <si>
    <t xml:space="preserve">PUT HEDGE  (EUR receivable → buy put to protect downside)</t>
  </si>
  <si>
    <t xml:space="preserve">[a] Total put premium paid  =  PREM_PUT × FC_AMT</t>
  </si>
  <si>
    <t xml:space="preserve">[b] FV of premium  =  [a] × (1 + R_USD)</t>
  </si>
  <si>
    <t xml:space="preserve">[c] Minimum floor proceeds  =  K_PUT × FC_AMT + [b]</t>
  </si>
  <si>
    <t xml:space="preserve">← FLOOR (upside preserved if EUR rises)</t>
  </si>
  <si>
    <t xml:space="preserve">CALL HEDGE  (EUR payable context → buy call to cap upside cost)</t>
  </si>
  <si>
    <t xml:space="preserve">[a] Total call premium paid  =  PREM_CALL × FC_AMT</t>
  </si>
  <si>
    <t xml:space="preserve">[c] Maximum cost cap  =  K_CALL × FC_AMT + [b]</t>
  </si>
  <si>
    <t xml:space="preserve">← CAP on cost (payable scenario)</t>
  </si>
  <si>
    <t xml:space="preserve">ZERO-COST COLLAR  (long put + short call on receivable)</t>
  </si>
  <si>
    <t xml:space="preserve">[a] Put premium paid  =  −PREM_PUT × FC_AMT</t>
  </si>
  <si>
    <t xml:space="preserve">[b] Call premium received  =  +PREM_CALL × FC_AMT</t>
  </si>
  <si>
    <t xml:space="preserve">[c] Net premium  =  [a] + [b]</t>
  </si>
  <si>
    <t xml:space="preserve">[d] FV of net premium  =  [c] × (1 + R_USD)</t>
  </si>
  <si>
    <t xml:space="preserve">[e] Floor proceeds  =  K_PUT × FC_AMT + [d]</t>
  </si>
  <si>
    <t xml:space="preserve">← FLOOR</t>
  </si>
  <si>
    <t xml:space="preserve">[f] Cap proceeds  =  K_CALL × FC_AMT + [d]</t>
  </si>
  <si>
    <t xml:space="preserve">← CAP</t>
  </si>
  <si>
    <t xml:space="preserve">SECTION 5 – SENSITIVITY TABLE  (S_T = S0 × 0.95 to S0 × 1.05, 1% steps)</t>
  </si>
  <si>
    <t xml:space="preserve">S_T (EUR/USD)</t>
  </si>
  <si>
    <t xml:space="preserve">0. No Hedge</t>
  </si>
  <si>
    <t xml:space="preserve">1. Forward</t>
  </si>
  <si>
    <t xml:space="preserve">2. Put Hedge</t>
  </si>
  <si>
    <t xml:space="preserve">3. Collar</t>
  </si>
  <si>
    <t xml:space="preserve">SECTION 6 – SUMMARY OUTPUT</t>
  </si>
  <si>
    <t xml:space="preserve">Forward Hedge – Locked-In USD Proceeds</t>
  </si>
  <si>
    <t xml:space="preserve">Money Market Hedge – Locked-In USD Proceeds</t>
  </si>
  <si>
    <t xml:space="preserve">Parity Check (Forward − MM)</t>
  </si>
  <si>
    <t xml:space="preserve">Put Hedge – Minimum (Floor) Proceeds</t>
  </si>
  <si>
    <t xml:space="preserve">Put Hedge – Net Premium Cost (FV)</t>
  </si>
  <si>
    <t xml:space="preserve">Collar – Floor Proceeds</t>
  </si>
  <si>
    <t xml:space="preserve">Collar – Cap Proceeds</t>
  </si>
  <si>
    <t xml:space="preserve">Collar – Net Premium  (+ = credit)</t>
  </si>
  <si>
    <t xml:space="preserve">Unhedged at Current Spot S0</t>
  </si>
  <si>
    <t xml:space="preserve">Hedge Recommendation</t>
  </si>
  <si>
    <t xml:space="preserve">— Stage 4 —</t>
  </si>
  <si>
    <t xml:space="preserve">GENERAL</t>
  </si>
  <si>
    <t xml:space="preserve">Scenario</t>
  </si>
  <si>
    <t xml:space="preserve">U.S. Solar Equipment Importer. €4,500,000 EUR receivable due April 2027 (12-month horizon).</t>
  </si>
  <si>
    <t xml:space="preserve">Currency pair</t>
  </si>
  <si>
    <t xml:space="preserve">EUR/USD. Firm is long EUR — receives EUR, functional currency is USD.</t>
  </si>
  <si>
    <t xml:space="preserve">Rate basis</t>
  </si>
  <si>
    <t xml:space="preserve">Annual simple interest, 360-day convention. No bid-ask spreads or transaction costs modelled.</t>
  </si>
  <si>
    <t xml:space="preserve">INTEREST RATES</t>
  </si>
  <si>
    <t xml:space="preserve">R_USD = 5.00%</t>
  </si>
  <si>
    <t xml:space="preserve">U.S. risk-free rate. Assumed stable. Source: FIN-321 scenario.</t>
  </si>
  <si>
    <t xml:space="preserve">R_FC = 3.00%</t>
  </si>
  <si>
    <t xml:space="preserve">EUR rate. Lower than USD → EUR at forward discount (F0 &lt; S0 consistent).</t>
  </si>
  <si>
    <t xml:space="preserve">FORWARD HEDGE</t>
  </si>
  <si>
    <t xml:space="preserve">F0 = 1.0875</t>
  </si>
  <si>
    <t xml:space="preserve">Per Stage 1 scenario. CIP check: 1.10×(1.05/1.03)=1.121; small deviation noted — using scenario value as given.</t>
  </si>
  <si>
    <t xml:space="preserve">MONEY MARKET HEDGE</t>
  </si>
  <si>
    <t xml:space="preserve">Parity</t>
  </si>
  <si>
    <t xml:space="preserve">MM result ≈ Forward result (covered-interest parity). Small residual from simple vs. compound rate convention.</t>
  </si>
  <si>
    <t xml:space="preserve">OPTION HEDGES</t>
  </si>
  <si>
    <t xml:space="preserve">Put strike 1.10</t>
  </si>
  <si>
    <t xml:space="preserve">At-the-money-spot. Protects downside; upside unlimited above strike net of premium.</t>
  </si>
  <si>
    <t xml:space="preserve">Call hedge</t>
  </si>
  <si>
    <t xml:space="preserve">Shown for completeness (payable scenario). Not the primary hedge for this receivable.</t>
  </si>
  <si>
    <t xml:space="preserve">Collar</t>
  </si>
  <si>
    <t xml:space="preserve">Long put (1.10) + short call (1.10). Call premium ($0.018) &gt; put ($0.015) → net credit of $0.003/EUR = $13,500. Technically a net-credit collar, not true zero-cost.</t>
  </si>
  <si>
    <t xml:space="preserve">SENSITIVITY TABLE</t>
  </si>
  <si>
    <t xml:space="preserve">Range</t>
  </si>
  <si>
    <t xml:space="preserve">S_T = S0 × 0.95 to S0 × 1.05, in 1% increments — 11 scenarios as required.</t>
  </si>
  <si>
    <t xml:space="preserve">LIMITATIONS</t>
  </si>
  <si>
    <t xml:space="preserve">Simplifications</t>
  </si>
  <si>
    <t xml:space="preserve">No counterparty credit risk, no hedge accounting treatment (ASC 815), no partial settlement scenarios.</t>
  </si>
  <si>
    <t xml:space="preserve">Stage 4</t>
  </si>
  <si>
    <t xml:space="preserve">Hedge recommendation to be completed in Stage 4 based on CFO risk appetite and market outlook.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</si>
</sst>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"/>
    <numFmt numFmtId="166" formatCode="0.0000"/>
    <numFmt numFmtId="167" formatCode="0.00%"/>
    <numFmt numFmtId="168" formatCode="0"/>
    <numFmt numFmtId="169" formatCode="\$#,##0.00"/>
    <numFmt numFmtId="170" formatCode="@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i val="true"/>
      <sz val="1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BDD7EE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D9D9"/>
      </patternFill>
    </fill>
    <fill>
      <patternFill patternType="solid">
        <fgColor rgb="FFD9D9D9"/>
        <bgColor rgb="FFBDD7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7030A0"/>
      <rgbColor rgb="FFFFFFCC"/>
      <rgbColor rgb="FFCCFFFF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USD Proceeds by Hedging Strategy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Model!B42</c:f>
              <c:strCache>
                <c:ptCount val="1"/>
                <c:pt idx="0">
                  <c:v>0. No Hedge</c:v>
                </c:pt>
              </c:strCache>
            </c:strRef>
          </c:tx>
          <c:spPr>
            <a:solidFill>
              <a:srgbClr val="ff0000"/>
            </a:solidFill>
            <a:ln w="180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Model!$A$43:$A$53</c:f>
              <c:strCache>
                <c:ptCount val="11"/>
                <c:pt idx="0">
                  <c:v>1.0450</c:v>
                </c:pt>
                <c:pt idx="1">
                  <c:v>1.0560</c:v>
                </c:pt>
                <c:pt idx="2">
                  <c:v>1.0670</c:v>
                </c:pt>
                <c:pt idx="3">
                  <c:v>1.0780</c:v>
                </c:pt>
                <c:pt idx="4">
                  <c:v>1.0890</c:v>
                </c:pt>
                <c:pt idx="5">
                  <c:v>1.1000</c:v>
                </c:pt>
                <c:pt idx="6">
                  <c:v>1.1110</c:v>
                </c:pt>
                <c:pt idx="7">
                  <c:v>1.1220</c:v>
                </c:pt>
                <c:pt idx="8">
                  <c:v>1.1330</c:v>
                </c:pt>
                <c:pt idx="9">
                  <c:v>1.1440</c:v>
                </c:pt>
                <c:pt idx="10">
                  <c:v>1.1550</c:v>
                </c:pt>
              </c:strCache>
            </c:strRef>
          </c:cat>
          <c:val>
            <c:numRef>
              <c:f>Model!$B$43:$B$53</c:f>
              <c:numCache>
                <c:formatCode>\$#,##0</c:formatCode>
                <c:ptCount val="11"/>
                <c:pt idx="0">
                  <c:v>4702500</c:v>
                </c:pt>
                <c:pt idx="1">
                  <c:v>4752000</c:v>
                </c:pt>
                <c:pt idx="2">
                  <c:v>4801500</c:v>
                </c:pt>
                <c:pt idx="3">
                  <c:v>4851000</c:v>
                </c:pt>
                <c:pt idx="4">
                  <c:v>4900500</c:v>
                </c:pt>
                <c:pt idx="5">
                  <c:v>4950000</c:v>
                </c:pt>
                <c:pt idx="6">
                  <c:v>4999500</c:v>
                </c:pt>
                <c:pt idx="7">
                  <c:v>5049000</c:v>
                </c:pt>
                <c:pt idx="8">
                  <c:v>5098500</c:v>
                </c:pt>
                <c:pt idx="9">
                  <c:v>5148000</c:v>
                </c:pt>
                <c:pt idx="10">
                  <c:v>5197500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Model!C42</c:f>
              <c:strCache>
                <c:ptCount val="1"/>
                <c:pt idx="0">
                  <c:v>1. Forward</c:v>
                </c:pt>
              </c:strCache>
            </c:strRef>
          </c:tx>
          <c:spPr>
            <a:solidFill>
              <a:srgbClr val="0070c0"/>
            </a:solidFill>
            <a:ln w="18000">
              <a:solidFill>
                <a:srgbClr val="0070c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Model!$A$43:$A$53</c:f>
              <c:strCache>
                <c:ptCount val="11"/>
                <c:pt idx="0">
                  <c:v>1.0450</c:v>
                </c:pt>
                <c:pt idx="1">
                  <c:v>1.0560</c:v>
                </c:pt>
                <c:pt idx="2">
                  <c:v>1.0670</c:v>
                </c:pt>
                <c:pt idx="3">
                  <c:v>1.0780</c:v>
                </c:pt>
                <c:pt idx="4">
                  <c:v>1.0890</c:v>
                </c:pt>
                <c:pt idx="5">
                  <c:v>1.1000</c:v>
                </c:pt>
                <c:pt idx="6">
                  <c:v>1.1110</c:v>
                </c:pt>
                <c:pt idx="7">
                  <c:v>1.1220</c:v>
                </c:pt>
                <c:pt idx="8">
                  <c:v>1.1330</c:v>
                </c:pt>
                <c:pt idx="9">
                  <c:v>1.1440</c:v>
                </c:pt>
                <c:pt idx="10">
                  <c:v>1.1550</c:v>
                </c:pt>
              </c:strCache>
            </c:strRef>
          </c:cat>
          <c:val>
            <c:numRef>
              <c:f>Model!$C$43:$C$53</c:f>
              <c:numCache>
                <c:formatCode>\$#,##0</c:formatCode>
                <c:ptCount val="11"/>
                <c:pt idx="0">
                  <c:v>4893750</c:v>
                </c:pt>
                <c:pt idx="1">
                  <c:v>4893750</c:v>
                </c:pt>
                <c:pt idx="2">
                  <c:v>4893750</c:v>
                </c:pt>
                <c:pt idx="3">
                  <c:v>4893750</c:v>
                </c:pt>
                <c:pt idx="4">
                  <c:v>4893750</c:v>
                </c:pt>
                <c:pt idx="5">
                  <c:v>4893750</c:v>
                </c:pt>
                <c:pt idx="6">
                  <c:v>4893750</c:v>
                </c:pt>
                <c:pt idx="7">
                  <c:v>4893750</c:v>
                </c:pt>
                <c:pt idx="8">
                  <c:v>4893750</c:v>
                </c:pt>
                <c:pt idx="9">
                  <c:v>4893750</c:v>
                </c:pt>
                <c:pt idx="10">
                  <c:v>4893750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Model!D42</c:f>
              <c:strCache>
                <c:ptCount val="1"/>
                <c:pt idx="0">
                  <c:v>2. Put Hedge</c:v>
                </c:pt>
              </c:strCache>
            </c:strRef>
          </c:tx>
          <c:spPr>
            <a:solidFill>
              <a:srgbClr val="00b050"/>
            </a:solidFill>
            <a:ln w="1800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Model!$A$43:$A$53</c:f>
              <c:strCache>
                <c:ptCount val="11"/>
                <c:pt idx="0">
                  <c:v>1.0450</c:v>
                </c:pt>
                <c:pt idx="1">
                  <c:v>1.0560</c:v>
                </c:pt>
                <c:pt idx="2">
                  <c:v>1.0670</c:v>
                </c:pt>
                <c:pt idx="3">
                  <c:v>1.0780</c:v>
                </c:pt>
                <c:pt idx="4">
                  <c:v>1.0890</c:v>
                </c:pt>
                <c:pt idx="5">
                  <c:v>1.1000</c:v>
                </c:pt>
                <c:pt idx="6">
                  <c:v>1.1110</c:v>
                </c:pt>
                <c:pt idx="7">
                  <c:v>1.1220</c:v>
                </c:pt>
                <c:pt idx="8">
                  <c:v>1.1330</c:v>
                </c:pt>
                <c:pt idx="9">
                  <c:v>1.1440</c:v>
                </c:pt>
                <c:pt idx="10">
                  <c:v>1.1550</c:v>
                </c:pt>
              </c:strCache>
            </c:strRef>
          </c:cat>
          <c:val>
            <c:numRef>
              <c:f>Model!$D$43:$D$53</c:f>
              <c:numCache>
                <c:formatCode>\$#,##0</c:formatCode>
                <c:ptCount val="11"/>
                <c:pt idx="0">
                  <c:v>4879125</c:v>
                </c:pt>
                <c:pt idx="1">
                  <c:v>4879125</c:v>
                </c:pt>
                <c:pt idx="2">
                  <c:v>4879125</c:v>
                </c:pt>
                <c:pt idx="3">
                  <c:v>4879125</c:v>
                </c:pt>
                <c:pt idx="4">
                  <c:v>4879125</c:v>
                </c:pt>
                <c:pt idx="5">
                  <c:v>4879125</c:v>
                </c:pt>
                <c:pt idx="6">
                  <c:v>4928625</c:v>
                </c:pt>
                <c:pt idx="7">
                  <c:v>4978125</c:v>
                </c:pt>
                <c:pt idx="8">
                  <c:v>5027625</c:v>
                </c:pt>
                <c:pt idx="9">
                  <c:v>5077125</c:v>
                </c:pt>
                <c:pt idx="10">
                  <c:v>5126625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Model!E42</c:f>
              <c:strCache>
                <c:ptCount val="1"/>
                <c:pt idx="0">
                  <c:v>3. Collar</c:v>
                </c:pt>
              </c:strCache>
            </c:strRef>
          </c:tx>
          <c:spPr>
            <a:solidFill>
              <a:srgbClr val="7030a0"/>
            </a:solidFill>
            <a:ln w="1800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Model!$A$43:$A$53</c:f>
              <c:strCache>
                <c:ptCount val="11"/>
                <c:pt idx="0">
                  <c:v>1.0450</c:v>
                </c:pt>
                <c:pt idx="1">
                  <c:v>1.0560</c:v>
                </c:pt>
                <c:pt idx="2">
                  <c:v>1.0670</c:v>
                </c:pt>
                <c:pt idx="3">
                  <c:v>1.0780</c:v>
                </c:pt>
                <c:pt idx="4">
                  <c:v>1.0890</c:v>
                </c:pt>
                <c:pt idx="5">
                  <c:v>1.1000</c:v>
                </c:pt>
                <c:pt idx="6">
                  <c:v>1.1110</c:v>
                </c:pt>
                <c:pt idx="7">
                  <c:v>1.1220</c:v>
                </c:pt>
                <c:pt idx="8">
                  <c:v>1.1330</c:v>
                </c:pt>
                <c:pt idx="9">
                  <c:v>1.1440</c:v>
                </c:pt>
                <c:pt idx="10">
                  <c:v>1.1550</c:v>
                </c:pt>
              </c:strCache>
            </c:strRef>
          </c:cat>
          <c:val>
            <c:numRef>
              <c:f>Model!$E$43:$E$53</c:f>
              <c:numCache>
                <c:formatCode>\$#,##0</c:formatCode>
                <c:ptCount val="11"/>
                <c:pt idx="0">
                  <c:v>4964175</c:v>
                </c:pt>
                <c:pt idx="1">
                  <c:v>4964175</c:v>
                </c:pt>
                <c:pt idx="2">
                  <c:v>4964175</c:v>
                </c:pt>
                <c:pt idx="3">
                  <c:v>4964175</c:v>
                </c:pt>
                <c:pt idx="4">
                  <c:v>4964175</c:v>
                </c:pt>
                <c:pt idx="5">
                  <c:v>4964175</c:v>
                </c:pt>
                <c:pt idx="6">
                  <c:v>4964175</c:v>
                </c:pt>
                <c:pt idx="7">
                  <c:v>4964175</c:v>
                </c:pt>
                <c:pt idx="8">
                  <c:v>4964175</c:v>
                </c:pt>
                <c:pt idx="9">
                  <c:v>4964175</c:v>
                </c:pt>
                <c:pt idx="10">
                  <c:v>4964175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1884405"/>
        <c:axId val="97077563"/>
      </c:lineChart>
      <c:catAx>
        <c:axId val="318844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EUR/USD Spot at Maturity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077563"/>
        <c:crosses val="autoZero"/>
        <c:auto val="1"/>
        <c:lblAlgn val="ctr"/>
        <c:lblOffset val="100"/>
        <c:noMultiLvlLbl val="0"/>
      </c:catAx>
      <c:valAx>
        <c:axId val="970775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 Proceeds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8844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18</xdr:col>
      <xdr:colOff>78840</xdr:colOff>
      <xdr:row>25</xdr:row>
      <xdr:rowOff>107640</xdr:rowOff>
    </xdr:to>
    <xdr:graphicFrame>
      <xdr:nvGraphicFramePr>
        <xdr:cNvPr id="0" name="Chart 1"/>
        <xdr:cNvGraphicFramePr/>
      </xdr:nvGraphicFramePr>
      <xdr:xfrm>
        <a:off x="6673320" y="190440"/>
        <a:ext cx="863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2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n">
        <v>4500000</v>
      </c>
      <c r="C2" s="4" t="s">
        <v>2</v>
      </c>
    </row>
    <row r="3" customFormat="false" ht="15" hidden="false" customHeight="false" outlineLevel="0" collapsed="false">
      <c r="A3" s="2" t="s">
        <v>3</v>
      </c>
      <c r="B3" s="5" t="n">
        <v>1.1</v>
      </c>
      <c r="C3" s="4" t="s">
        <v>4</v>
      </c>
    </row>
    <row r="4" customFormat="false" ht="15" hidden="false" customHeight="false" outlineLevel="0" collapsed="false">
      <c r="A4" s="2" t="s">
        <v>5</v>
      </c>
      <c r="B4" s="5" t="n">
        <v>1.0875</v>
      </c>
      <c r="C4" s="4" t="s">
        <v>6</v>
      </c>
    </row>
    <row r="5" customFormat="false" ht="15" hidden="false" customHeight="false" outlineLevel="0" collapsed="false">
      <c r="A5" s="2" t="s">
        <v>7</v>
      </c>
      <c r="B5" s="6" t="n">
        <v>0.05</v>
      </c>
      <c r="C5" s="4" t="s">
        <v>8</v>
      </c>
    </row>
    <row r="6" customFormat="false" ht="15" hidden="false" customHeight="false" outlineLevel="0" collapsed="false">
      <c r="A6" s="2" t="s">
        <v>9</v>
      </c>
      <c r="B6" s="6" t="n">
        <v>0.03</v>
      </c>
      <c r="C6" s="4" t="s">
        <v>10</v>
      </c>
    </row>
    <row r="7" customFormat="false" ht="15" hidden="false" customHeight="false" outlineLevel="0" collapsed="false">
      <c r="A7" s="2" t="s">
        <v>11</v>
      </c>
      <c r="B7" s="7" t="n">
        <v>360</v>
      </c>
      <c r="C7" s="4" t="s">
        <v>12</v>
      </c>
    </row>
    <row r="8" customFormat="false" ht="15" hidden="false" customHeight="false" outlineLevel="0" collapsed="false">
      <c r="A8" s="2" t="s">
        <v>13</v>
      </c>
      <c r="B8" s="5" t="n">
        <v>1.1</v>
      </c>
      <c r="C8" s="4" t="s">
        <v>14</v>
      </c>
    </row>
    <row r="9" customFormat="false" ht="15" hidden="false" customHeight="false" outlineLevel="0" collapsed="false">
      <c r="A9" s="2" t="s">
        <v>15</v>
      </c>
      <c r="B9" s="5" t="n">
        <v>0.015</v>
      </c>
      <c r="C9" s="4" t="s">
        <v>16</v>
      </c>
    </row>
    <row r="10" customFormat="false" ht="15" hidden="false" customHeight="false" outlineLevel="0" collapsed="false">
      <c r="A10" s="2" t="s">
        <v>17</v>
      </c>
      <c r="B10" s="5" t="n">
        <v>1.1</v>
      </c>
      <c r="C10" s="4" t="s">
        <v>18</v>
      </c>
    </row>
    <row r="11" customFormat="false" ht="15" hidden="false" customHeight="false" outlineLevel="0" collapsed="false">
      <c r="A11" s="2" t="s">
        <v>19</v>
      </c>
      <c r="B11" s="5" t="n">
        <v>0.018</v>
      </c>
      <c r="C11" s="4" t="s">
        <v>20</v>
      </c>
    </row>
    <row r="13" customFormat="false" ht="15" hidden="false" customHeight="false" outlineLevel="0" collapsed="false">
      <c r="A13" s="1" t="s">
        <v>21</v>
      </c>
    </row>
    <row r="14" customFormat="false" ht="15" hidden="false" customHeight="false" outlineLevel="0" collapsed="false">
      <c r="A14" s="8" t="s">
        <v>22</v>
      </c>
      <c r="B14" s="9" t="n">
        <f aca="false">$B$2*$B$4</f>
        <v>4893750</v>
      </c>
      <c r="C14" s="10" t="s">
        <v>23</v>
      </c>
    </row>
    <row r="16" customFormat="false" ht="15" hidden="false" customHeight="false" outlineLevel="0" collapsed="false">
      <c r="A16" s="1" t="s">
        <v>24</v>
      </c>
    </row>
    <row r="17" customFormat="false" ht="15" hidden="false" customHeight="false" outlineLevel="0" collapsed="false">
      <c r="A17" s="8" t="s">
        <v>25</v>
      </c>
      <c r="B17" s="11" t="n">
        <f aca="false">$B$2/(1+$B$6)</f>
        <v>4368932.03883495</v>
      </c>
    </row>
    <row r="18" customFormat="false" ht="15" hidden="false" customHeight="false" outlineLevel="0" collapsed="false">
      <c r="A18" s="8" t="s">
        <v>26</v>
      </c>
      <c r="B18" s="11" t="n">
        <f aca="false">B17*$B$3</f>
        <v>4805825.24271845</v>
      </c>
    </row>
    <row r="19" customFormat="false" ht="15" hidden="false" customHeight="false" outlineLevel="0" collapsed="false">
      <c r="A19" s="8" t="s">
        <v>27</v>
      </c>
      <c r="B19" s="9" t="n">
        <f aca="false">B18*(1+$B$5)</f>
        <v>5046116.50485437</v>
      </c>
      <c r="C19" s="10" t="s">
        <v>23</v>
      </c>
    </row>
    <row r="20" customFormat="false" ht="15" hidden="false" customHeight="false" outlineLevel="0" collapsed="false">
      <c r="A20" s="2" t="s">
        <v>28</v>
      </c>
      <c r="B20" s="12" t="n">
        <f aca="false">B14-B19</f>
        <v>-152366.504854369</v>
      </c>
      <c r="C20" s="4" t="s">
        <v>29</v>
      </c>
    </row>
    <row r="22" customFormat="false" ht="15" hidden="false" customHeight="false" outlineLevel="0" collapsed="false">
      <c r="A22" s="1" t="s">
        <v>30</v>
      </c>
    </row>
    <row r="23" customFormat="false" ht="15" hidden="false" customHeight="false" outlineLevel="0" collapsed="false">
      <c r="A23" s="13" t="s">
        <v>31</v>
      </c>
    </row>
    <row r="24" customFormat="false" ht="15" hidden="false" customHeight="false" outlineLevel="0" collapsed="false">
      <c r="A24" s="8" t="s">
        <v>32</v>
      </c>
      <c r="B24" s="14" t="n">
        <f aca="false">-$B$9*$B$2</f>
        <v>-67500</v>
      </c>
    </row>
    <row r="25" customFormat="false" ht="15" hidden="false" customHeight="false" outlineLevel="0" collapsed="false">
      <c r="A25" s="8" t="s">
        <v>33</v>
      </c>
      <c r="B25" s="14" t="n">
        <f aca="false">B24*(1+$B$5)</f>
        <v>-70875</v>
      </c>
    </row>
    <row r="26" customFormat="false" ht="15" hidden="false" customHeight="false" outlineLevel="0" collapsed="false">
      <c r="A26" s="8" t="s">
        <v>34</v>
      </c>
      <c r="B26" s="9" t="n">
        <f aca="false">$B$8*$B$2+B25</f>
        <v>4879125</v>
      </c>
      <c r="C26" s="10" t="s">
        <v>35</v>
      </c>
    </row>
    <row r="28" customFormat="false" ht="15" hidden="false" customHeight="false" outlineLevel="0" collapsed="false">
      <c r="A28" s="13" t="s">
        <v>36</v>
      </c>
    </row>
    <row r="29" customFormat="false" ht="15" hidden="false" customHeight="false" outlineLevel="0" collapsed="false">
      <c r="A29" s="8" t="s">
        <v>37</v>
      </c>
      <c r="B29" s="14" t="n">
        <f aca="false">-$B$11*$B$2</f>
        <v>-81000</v>
      </c>
    </row>
    <row r="30" customFormat="false" ht="15" hidden="false" customHeight="false" outlineLevel="0" collapsed="false">
      <c r="A30" s="8" t="s">
        <v>33</v>
      </c>
      <c r="B30" s="14" t="n">
        <f aca="false">B29*(1+$B$5)</f>
        <v>-85050</v>
      </c>
    </row>
    <row r="31" customFormat="false" ht="15" hidden="false" customHeight="false" outlineLevel="0" collapsed="false">
      <c r="A31" s="8" t="s">
        <v>38</v>
      </c>
      <c r="B31" s="9" t="n">
        <f aca="false">$B$10*$B$2+B30</f>
        <v>4864950</v>
      </c>
      <c r="C31" s="10" t="s">
        <v>39</v>
      </c>
    </row>
    <row r="33" customFormat="false" ht="15" hidden="false" customHeight="false" outlineLevel="0" collapsed="false">
      <c r="A33" s="13" t="s">
        <v>40</v>
      </c>
    </row>
    <row r="34" customFormat="false" ht="15" hidden="false" customHeight="false" outlineLevel="0" collapsed="false">
      <c r="A34" s="8" t="s">
        <v>41</v>
      </c>
      <c r="B34" s="14" t="n">
        <f aca="false">-$B$9*$B$2</f>
        <v>-67500</v>
      </c>
    </row>
    <row r="35" customFormat="false" ht="15" hidden="false" customHeight="false" outlineLevel="0" collapsed="false">
      <c r="A35" s="8" t="s">
        <v>42</v>
      </c>
      <c r="B35" s="14" t="n">
        <f aca="false">+$B$11*$B$2</f>
        <v>81000</v>
      </c>
    </row>
    <row r="36" customFormat="false" ht="15" hidden="false" customHeight="false" outlineLevel="0" collapsed="false">
      <c r="A36" s="8" t="s">
        <v>43</v>
      </c>
      <c r="B36" s="11" t="n">
        <f aca="false">B34+B35</f>
        <v>13500</v>
      </c>
    </row>
    <row r="37" customFormat="false" ht="15" hidden="false" customHeight="false" outlineLevel="0" collapsed="false">
      <c r="A37" s="8" t="s">
        <v>44</v>
      </c>
      <c r="B37" s="11" t="n">
        <f aca="false">B36*(1+$B$5)</f>
        <v>14175</v>
      </c>
    </row>
    <row r="38" customFormat="false" ht="15" hidden="false" customHeight="false" outlineLevel="0" collapsed="false">
      <c r="A38" s="8" t="s">
        <v>45</v>
      </c>
      <c r="B38" s="9" t="n">
        <f aca="false">$B$8*$B$2+B37</f>
        <v>4964175</v>
      </c>
      <c r="C38" s="10" t="s">
        <v>46</v>
      </c>
    </row>
    <row r="39" customFormat="false" ht="15" hidden="false" customHeight="false" outlineLevel="0" collapsed="false">
      <c r="A39" s="8" t="s">
        <v>47</v>
      </c>
      <c r="B39" s="9" t="n">
        <f aca="false">$B$10*$B$2+B37</f>
        <v>4964175</v>
      </c>
      <c r="C39" s="10" t="s">
        <v>48</v>
      </c>
    </row>
    <row r="41" customFormat="false" ht="15" hidden="false" customHeight="false" outlineLevel="0" collapsed="false">
      <c r="A41" s="1" t="s">
        <v>49</v>
      </c>
    </row>
    <row r="42" customFormat="false" ht="15" hidden="false" customHeight="false" outlineLevel="0" collapsed="false">
      <c r="A42" s="15" t="s">
        <v>50</v>
      </c>
      <c r="B42" s="15" t="s">
        <v>51</v>
      </c>
      <c r="C42" s="15" t="s">
        <v>52</v>
      </c>
      <c r="D42" s="15" t="s">
        <v>53</v>
      </c>
      <c r="E42" s="15" t="s">
        <v>54</v>
      </c>
    </row>
    <row r="43" customFormat="false" ht="15" hidden="false" customHeight="false" outlineLevel="0" collapsed="false">
      <c r="A43" s="16" t="n">
        <f aca="false">$B$3*0.95</f>
        <v>1.045</v>
      </c>
      <c r="B43" s="14" t="n">
        <f aca="false">A43*$B$2</f>
        <v>4702500</v>
      </c>
      <c r="C43" s="14" t="n">
        <f aca="false">B14</f>
        <v>4893750</v>
      </c>
      <c r="D43" s="14" t="n">
        <f aca="false">IF(A43&gt;=$B$8,A43*$B$2,$B$8*$B$2)+B25</f>
        <v>4879125</v>
      </c>
      <c r="E43" s="14" t="n">
        <f aca="false">IF(A43&lt;$B$8,$B$8*$B$2,IF(A43&gt;$B$10,$B$10*$B$2,A43*$B$2))+B37</f>
        <v>4964175</v>
      </c>
    </row>
    <row r="44" customFormat="false" ht="15" hidden="false" customHeight="false" outlineLevel="0" collapsed="false">
      <c r="A44" s="16" t="n">
        <f aca="false">$B$3*0.96</f>
        <v>1.056</v>
      </c>
      <c r="B44" s="14" t="n">
        <f aca="false">A44*$B$2</f>
        <v>4752000</v>
      </c>
      <c r="C44" s="14" t="n">
        <f aca="false">B14</f>
        <v>4893750</v>
      </c>
      <c r="D44" s="14" t="n">
        <f aca="false">IF(A44&gt;=$B$8,A44*$B$2,$B$8*$B$2)+B25</f>
        <v>4879125</v>
      </c>
      <c r="E44" s="14" t="n">
        <f aca="false">IF(A44&lt;$B$8,$B$8*$B$2,IF(A44&gt;$B$10,$B$10*$B$2,A44*$B$2))+B37</f>
        <v>4964175</v>
      </c>
    </row>
    <row r="45" customFormat="false" ht="15" hidden="false" customHeight="false" outlineLevel="0" collapsed="false">
      <c r="A45" s="16" t="n">
        <f aca="false">$B$3*0.97</f>
        <v>1.067</v>
      </c>
      <c r="B45" s="14" t="n">
        <f aca="false">A45*$B$2</f>
        <v>4801500</v>
      </c>
      <c r="C45" s="14" t="n">
        <f aca="false">B14</f>
        <v>4893750</v>
      </c>
      <c r="D45" s="14" t="n">
        <f aca="false">IF(A45&gt;=$B$8,A45*$B$2,$B$8*$B$2)+B25</f>
        <v>4879125</v>
      </c>
      <c r="E45" s="14" t="n">
        <f aca="false">IF(A45&lt;$B$8,$B$8*$B$2,IF(A45&gt;$B$10,$B$10*$B$2,A45*$B$2))+B37</f>
        <v>4964175</v>
      </c>
    </row>
    <row r="46" customFormat="false" ht="15" hidden="false" customHeight="false" outlineLevel="0" collapsed="false">
      <c r="A46" s="16" t="n">
        <f aca="false">$B$3*0.98</f>
        <v>1.078</v>
      </c>
      <c r="B46" s="14" t="n">
        <f aca="false">A46*$B$2</f>
        <v>4851000</v>
      </c>
      <c r="C46" s="14" t="n">
        <f aca="false">B14</f>
        <v>4893750</v>
      </c>
      <c r="D46" s="14" t="n">
        <f aca="false">IF(A46&gt;=$B$8,A46*$B$2,$B$8*$B$2)+B25</f>
        <v>4879125</v>
      </c>
      <c r="E46" s="14" t="n">
        <f aca="false">IF(A46&lt;$B$8,$B$8*$B$2,IF(A46&gt;$B$10,$B$10*$B$2,A46*$B$2))+B37</f>
        <v>4964175</v>
      </c>
    </row>
    <row r="47" customFormat="false" ht="15" hidden="false" customHeight="false" outlineLevel="0" collapsed="false">
      <c r="A47" s="16" t="n">
        <f aca="false">$B$3*0.99</f>
        <v>1.089</v>
      </c>
      <c r="B47" s="14" t="n">
        <f aca="false">A47*$B$2</f>
        <v>4900500</v>
      </c>
      <c r="C47" s="14" t="n">
        <f aca="false">B14</f>
        <v>4893750</v>
      </c>
      <c r="D47" s="14" t="n">
        <f aca="false">IF(A47&gt;=$B$8,A47*$B$2,$B$8*$B$2)+B25</f>
        <v>4879125</v>
      </c>
      <c r="E47" s="14" t="n">
        <f aca="false">IF(A47&lt;$B$8,$B$8*$B$2,IF(A47&gt;$B$10,$B$10*$B$2,A47*$B$2))+B37</f>
        <v>4964175</v>
      </c>
    </row>
    <row r="48" customFormat="false" ht="15" hidden="false" customHeight="false" outlineLevel="0" collapsed="false">
      <c r="A48" s="16" t="n">
        <f aca="false">$B$3*1</f>
        <v>1.1</v>
      </c>
      <c r="B48" s="14" t="n">
        <f aca="false">A48*$B$2</f>
        <v>4950000</v>
      </c>
      <c r="C48" s="14" t="n">
        <f aca="false">B14</f>
        <v>4893750</v>
      </c>
      <c r="D48" s="14" t="n">
        <f aca="false">IF(A48&gt;=$B$8,A48*$B$2,$B$8*$B$2)+B25</f>
        <v>4879125</v>
      </c>
      <c r="E48" s="14" t="n">
        <f aca="false">IF(A48&lt;$B$8,$B$8*$B$2,IF(A48&gt;$B$10,$B$10*$B$2,A48*$B$2))+B37</f>
        <v>4964175</v>
      </c>
    </row>
    <row r="49" customFormat="false" ht="15" hidden="false" customHeight="false" outlineLevel="0" collapsed="false">
      <c r="A49" s="16" t="n">
        <f aca="false">$B$3*1.01</f>
        <v>1.111</v>
      </c>
      <c r="B49" s="14" t="n">
        <f aca="false">A49*$B$2</f>
        <v>4999500</v>
      </c>
      <c r="C49" s="14" t="n">
        <f aca="false">B14</f>
        <v>4893750</v>
      </c>
      <c r="D49" s="14" t="n">
        <f aca="false">IF(A49&gt;=$B$8,A49*$B$2,$B$8*$B$2)+B25</f>
        <v>4928625</v>
      </c>
      <c r="E49" s="14" t="n">
        <f aca="false">IF(A49&lt;$B$8,$B$8*$B$2,IF(A49&gt;$B$10,$B$10*$B$2,A49*$B$2))+B37</f>
        <v>4964175</v>
      </c>
    </row>
    <row r="50" customFormat="false" ht="15" hidden="false" customHeight="false" outlineLevel="0" collapsed="false">
      <c r="A50" s="16" t="n">
        <f aca="false">$B$3*1.02</f>
        <v>1.122</v>
      </c>
      <c r="B50" s="14" t="n">
        <f aca="false">A50*$B$2</f>
        <v>5049000</v>
      </c>
      <c r="C50" s="14" t="n">
        <f aca="false">B14</f>
        <v>4893750</v>
      </c>
      <c r="D50" s="14" t="n">
        <f aca="false">IF(A50&gt;=$B$8,A50*$B$2,$B$8*$B$2)+B25</f>
        <v>4978125</v>
      </c>
      <c r="E50" s="14" t="n">
        <f aca="false">IF(A50&lt;$B$8,$B$8*$B$2,IF(A50&gt;$B$10,$B$10*$B$2,A50*$B$2))+B37</f>
        <v>4964175</v>
      </c>
    </row>
    <row r="51" customFormat="false" ht="15" hidden="false" customHeight="false" outlineLevel="0" collapsed="false">
      <c r="A51" s="16" t="n">
        <f aca="false">$B$3*1.03</f>
        <v>1.133</v>
      </c>
      <c r="B51" s="14" t="n">
        <f aca="false">A51*$B$2</f>
        <v>5098500</v>
      </c>
      <c r="C51" s="14" t="n">
        <f aca="false">B14</f>
        <v>4893750</v>
      </c>
      <c r="D51" s="14" t="n">
        <f aca="false">IF(A51&gt;=$B$8,A51*$B$2,$B$8*$B$2)+B25</f>
        <v>5027625</v>
      </c>
      <c r="E51" s="14" t="n">
        <f aca="false">IF(A51&lt;$B$8,$B$8*$B$2,IF(A51&gt;$B$10,$B$10*$B$2,A51*$B$2))+B37</f>
        <v>4964175</v>
      </c>
    </row>
    <row r="52" customFormat="false" ht="15" hidden="false" customHeight="false" outlineLevel="0" collapsed="false">
      <c r="A52" s="16" t="n">
        <f aca="false">$B$3*1.04</f>
        <v>1.144</v>
      </c>
      <c r="B52" s="14" t="n">
        <f aca="false">A52*$B$2</f>
        <v>5148000</v>
      </c>
      <c r="C52" s="14" t="n">
        <f aca="false">B14</f>
        <v>4893750</v>
      </c>
      <c r="D52" s="14" t="n">
        <f aca="false">IF(A52&gt;=$B$8,A52*$B$2,$B$8*$B$2)+B25</f>
        <v>5077125</v>
      </c>
      <c r="E52" s="14" t="n">
        <f aca="false">IF(A52&lt;$B$8,$B$8*$B$2,IF(A52&gt;$B$10,$B$10*$B$2,A52*$B$2))+B37</f>
        <v>4964175</v>
      </c>
    </row>
    <row r="53" customFormat="false" ht="15" hidden="false" customHeight="false" outlineLevel="0" collapsed="false">
      <c r="A53" s="16" t="n">
        <f aca="false">$B$3*1.05</f>
        <v>1.155</v>
      </c>
      <c r="B53" s="14" t="n">
        <f aca="false">A53*$B$2</f>
        <v>5197500</v>
      </c>
      <c r="C53" s="14" t="n">
        <f aca="false">B14</f>
        <v>4893750</v>
      </c>
      <c r="D53" s="14" t="n">
        <f aca="false">IF(A53&gt;=$B$8,A53*$B$2,$B$8*$B$2)+B25</f>
        <v>5126625</v>
      </c>
      <c r="E53" s="14" t="n">
        <f aca="false">IF(A53&lt;$B$8,$B$8*$B$2,IF(A53&gt;$B$10,$B$10*$B$2,A53*$B$2))+B37</f>
        <v>4964175</v>
      </c>
    </row>
    <row r="56" customFormat="false" ht="15" hidden="false" customHeight="false" outlineLevel="0" collapsed="false">
      <c r="A56" s="1" t="s">
        <v>55</v>
      </c>
    </row>
    <row r="57" customFormat="false" ht="15" hidden="false" customHeight="false" outlineLevel="0" collapsed="false">
      <c r="A57" s="17" t="s">
        <v>56</v>
      </c>
      <c r="B57" s="9" t="n">
        <f aca="false">B14</f>
        <v>4893750</v>
      </c>
    </row>
    <row r="58" customFormat="false" ht="15" hidden="false" customHeight="false" outlineLevel="0" collapsed="false">
      <c r="A58" s="17" t="s">
        <v>57</v>
      </c>
      <c r="B58" s="9" t="n">
        <f aca="false">B19</f>
        <v>5046116.50485437</v>
      </c>
    </row>
    <row r="59" customFormat="false" ht="15" hidden="false" customHeight="false" outlineLevel="0" collapsed="false">
      <c r="A59" s="17" t="s">
        <v>58</v>
      </c>
      <c r="B59" s="18" t="n">
        <f aca="false">B14-B19</f>
        <v>-152366.504854369</v>
      </c>
    </row>
    <row r="60" customFormat="false" ht="15" hidden="false" customHeight="false" outlineLevel="0" collapsed="false">
      <c r="A60" s="17" t="s">
        <v>59</v>
      </c>
      <c r="B60" s="9" t="n">
        <f aca="false">B26</f>
        <v>4879125</v>
      </c>
    </row>
    <row r="61" customFormat="false" ht="15" hidden="false" customHeight="false" outlineLevel="0" collapsed="false">
      <c r="A61" s="17" t="s">
        <v>60</v>
      </c>
      <c r="B61" s="9" t="n">
        <f aca="false">B25</f>
        <v>-70875</v>
      </c>
    </row>
    <row r="62" customFormat="false" ht="15" hidden="false" customHeight="false" outlineLevel="0" collapsed="false">
      <c r="A62" s="17" t="s">
        <v>61</v>
      </c>
      <c r="B62" s="9" t="n">
        <f aca="false">B38</f>
        <v>4964175</v>
      </c>
    </row>
    <row r="63" customFormat="false" ht="15" hidden="false" customHeight="false" outlineLevel="0" collapsed="false">
      <c r="A63" s="17" t="s">
        <v>62</v>
      </c>
      <c r="B63" s="9" t="n">
        <f aca="false">B39</f>
        <v>4964175</v>
      </c>
    </row>
    <row r="64" customFormat="false" ht="15" hidden="false" customHeight="false" outlineLevel="0" collapsed="false">
      <c r="A64" s="17" t="s">
        <v>63</v>
      </c>
      <c r="B64" s="18" t="n">
        <f aca="false">B36</f>
        <v>13500</v>
      </c>
    </row>
    <row r="65" customFormat="false" ht="15" hidden="false" customHeight="false" outlineLevel="0" collapsed="false">
      <c r="A65" s="17" t="s">
        <v>64</v>
      </c>
      <c r="B65" s="9" t="n">
        <f aca="false">$B$3*$B$2</f>
        <v>4950000</v>
      </c>
    </row>
    <row r="66" customFormat="false" ht="15" hidden="false" customHeight="false" outlineLevel="0" collapsed="false">
      <c r="A66" s="17" t="s">
        <v>65</v>
      </c>
      <c r="B66" s="19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2"/>
  </cols>
  <sheetData>
    <row r="1" customFormat="false" ht="15.75" hidden="false" customHeight="true" outlineLevel="0" collapsed="false">
      <c r="A1" s="20" t="s">
        <v>67</v>
      </c>
      <c r="B1" s="21"/>
    </row>
    <row r="2" customFormat="false" ht="30" hidden="false" customHeight="true" outlineLevel="0" collapsed="false">
      <c r="A2" s="22" t="s">
        <v>68</v>
      </c>
      <c r="B2" s="23" t="s">
        <v>69</v>
      </c>
    </row>
    <row r="3" customFormat="false" ht="15.75" hidden="false" customHeight="true" outlineLevel="0" collapsed="false">
      <c r="A3" s="22" t="s">
        <v>70</v>
      </c>
      <c r="B3" s="23" t="s">
        <v>71</v>
      </c>
    </row>
    <row r="4" customFormat="false" ht="30" hidden="false" customHeight="true" outlineLevel="0" collapsed="false">
      <c r="A4" s="22" t="s">
        <v>72</v>
      </c>
      <c r="B4" s="23" t="s">
        <v>73</v>
      </c>
    </row>
    <row r="5" customFormat="false" ht="15.75" hidden="false" customHeight="true" outlineLevel="0" collapsed="false">
      <c r="A5" s="20"/>
      <c r="B5" s="21"/>
    </row>
    <row r="6" customFormat="false" ht="15.75" hidden="false" customHeight="true" outlineLevel="0" collapsed="false">
      <c r="A6" s="20" t="s">
        <v>74</v>
      </c>
      <c r="B6" s="21"/>
    </row>
    <row r="7" customFormat="false" ht="15.75" hidden="false" customHeight="true" outlineLevel="0" collapsed="false">
      <c r="A7" s="22" t="s">
        <v>75</v>
      </c>
      <c r="B7" s="23" t="s">
        <v>76</v>
      </c>
    </row>
    <row r="8" customFormat="false" ht="15.75" hidden="false" customHeight="true" outlineLevel="0" collapsed="false">
      <c r="A8" s="22" t="s">
        <v>77</v>
      </c>
      <c r="B8" s="23" t="s">
        <v>78</v>
      </c>
    </row>
    <row r="9" customFormat="false" ht="15.75" hidden="false" customHeight="true" outlineLevel="0" collapsed="false">
      <c r="A9" s="20"/>
      <c r="B9" s="21"/>
    </row>
    <row r="10" customFormat="false" ht="15.75" hidden="false" customHeight="true" outlineLevel="0" collapsed="false">
      <c r="A10" s="20" t="s">
        <v>79</v>
      </c>
      <c r="B10" s="21"/>
    </row>
    <row r="11" customFormat="false" ht="30" hidden="false" customHeight="true" outlineLevel="0" collapsed="false">
      <c r="A11" s="22" t="s">
        <v>80</v>
      </c>
      <c r="B11" s="23" t="s">
        <v>81</v>
      </c>
    </row>
    <row r="12" customFormat="false" ht="15.75" hidden="false" customHeight="true" outlineLevel="0" collapsed="false">
      <c r="A12" s="20"/>
      <c r="B12" s="21"/>
    </row>
    <row r="13" customFormat="false" ht="15.75" hidden="false" customHeight="true" outlineLevel="0" collapsed="false">
      <c r="A13" s="20" t="s">
        <v>82</v>
      </c>
      <c r="B13" s="21"/>
    </row>
    <row r="14" customFormat="false" ht="30" hidden="false" customHeight="true" outlineLevel="0" collapsed="false">
      <c r="A14" s="22" t="s">
        <v>83</v>
      </c>
      <c r="B14" s="23" t="s">
        <v>84</v>
      </c>
    </row>
    <row r="15" customFormat="false" ht="15.75" hidden="false" customHeight="true" outlineLevel="0" collapsed="false">
      <c r="A15" s="20"/>
      <c r="B15" s="21"/>
    </row>
    <row r="16" customFormat="false" ht="15.75" hidden="false" customHeight="true" outlineLevel="0" collapsed="false">
      <c r="A16" s="20" t="s">
        <v>85</v>
      </c>
      <c r="B16" s="21"/>
    </row>
    <row r="17" customFormat="false" ht="30" hidden="false" customHeight="true" outlineLevel="0" collapsed="false">
      <c r="A17" s="22" t="s">
        <v>86</v>
      </c>
      <c r="B17" s="23" t="s">
        <v>87</v>
      </c>
    </row>
    <row r="18" customFormat="false" ht="30" hidden="false" customHeight="true" outlineLevel="0" collapsed="false">
      <c r="A18" s="22" t="s">
        <v>88</v>
      </c>
      <c r="B18" s="23" t="s">
        <v>89</v>
      </c>
    </row>
    <row r="19" customFormat="false" ht="30" hidden="false" customHeight="true" outlineLevel="0" collapsed="false">
      <c r="A19" s="22" t="s">
        <v>90</v>
      </c>
      <c r="B19" s="23" t="s">
        <v>91</v>
      </c>
    </row>
    <row r="20" customFormat="false" ht="15.75" hidden="false" customHeight="true" outlineLevel="0" collapsed="false">
      <c r="A20" s="20"/>
      <c r="B20" s="21"/>
    </row>
    <row r="21" customFormat="false" ht="15.75" hidden="false" customHeight="true" outlineLevel="0" collapsed="false">
      <c r="A21" s="20" t="s">
        <v>92</v>
      </c>
      <c r="B21" s="21"/>
    </row>
    <row r="22" customFormat="false" ht="15.75" hidden="false" customHeight="true" outlineLevel="0" collapsed="false">
      <c r="A22" s="22" t="s">
        <v>93</v>
      </c>
      <c r="B22" s="23" t="s">
        <v>94</v>
      </c>
    </row>
    <row r="23" customFormat="false" ht="15.75" hidden="false" customHeight="true" outlineLevel="0" collapsed="false">
      <c r="A23" s="20"/>
      <c r="B23" s="21"/>
    </row>
    <row r="24" customFormat="false" ht="15.75" hidden="false" customHeight="true" outlineLevel="0" collapsed="false">
      <c r="A24" s="20" t="s">
        <v>95</v>
      </c>
      <c r="B24" s="21"/>
    </row>
    <row r="25" customFormat="false" ht="30" hidden="false" customHeight="true" outlineLevel="0" collapsed="false">
      <c r="A25" s="22" t="s">
        <v>96</v>
      </c>
      <c r="B25" s="23" t="s">
        <v>97</v>
      </c>
    </row>
    <row r="26" customFormat="false" ht="30" hidden="false" customHeight="true" outlineLevel="0" collapsed="false">
      <c r="A26" s="22" t="s">
        <v>98</v>
      </c>
      <c r="B26" s="23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2026-04-17T21:03:29Z</dcterms:created>
  <dc:creator>openpyxl</dc:creator>
  <dc:description/>
  <dc:language>en-US</dc:language>
  <cp:lastModifiedBy/>
  <dcterms:modified xsi:type="dcterms:W3CDTF">2026-04-17T21:03:38Z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